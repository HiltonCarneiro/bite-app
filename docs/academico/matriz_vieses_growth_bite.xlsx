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89587048a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ee4d4f41e1c45a4"/>
    <x:sheet xmlns:r="http://schemas.openxmlformats.org/officeDocument/2006/relationships" name="Matriz" sheetId="2" r:id="Ra7b2ae3574ec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E1F17"/>
      <x:name val="Arial"/>
    </x:font>
    <x:font>
      <x:b/>
      <x:sz val="16"/>
      <x:color rgb="FF2E1F17"/>
      <x:name val="Arial"/>
    </x:font>
    <x:font>
      <x:i/>
      <x:sz val="10"/>
      <x:color rgb="FF6B625E"/>
      <x:name val="Arial"/>
    </x:font>
    <x:font>
      <x:b/>
      <x:sz val="10"/>
      <x:color rgb="FFFFFFFF"/>
      <x:name val="Arial"/>
    </x:font>
    <x:font>
      <x:b/>
      <x:sz val="10"/>
      <x:color rgb="FF2E7D32"/>
      <x:name val="Arial"/>
    </x:font>
    <x:font>
      <x:b/>
      <x:sz val="10"/>
      <x:color rgb="FFC95000"/>
      <x:name val="Arial"/>
    </x:font>
    <x:font>
      <x:b/>
      <x:sz val="10"/>
      <x:color rgb="FF2E1F17"/>
      <x:name val="Arial"/>
    </x:font>
    <x:font>
      <x:b/>
      <x:sz val="10"/>
      <x:color rgb="FFE6394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E1F17"/>
      </x:patternFill>
    </x:fill>
    <x:fill>
      <x:patternFill patternType="solid">
        <x:fgColor rgb="FFF7F4EE"/>
      </x:patternFill>
    </x:fill>
    <x:fill>
      <x:patternFill patternType="solid">
        <x:fgColor rgb="FFE8F5E9"/>
      </x:patternFill>
    </x:fill>
    <x:fill>
      <x:patternFill patternType="solid">
        <x:fgColor rgb="FFFBE7D6"/>
      </x:patternFill>
    </x:fill>
    <x:fill>
      <x:patternFill patternType="solid">
        <x:fgColor rgb="FFFDEBEC"/>
      </x:patternFill>
    </x:fill>
    <x:fill>
      <x:patternFill patternType="solid">
        <x:fgColor rgb="FFFFFFFF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C95000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D8D0C9"/>
      </x:left>
      <x:right/>
      <x:top style="thin">
        <x:color rgb="FFD8D0C9"/>
      </x:top>
      <x:bottom/>
      <x:diagonal/>
    </x:border>
    <x:border>
      <x:left/>
      <x:right style="thin">
        <x:color rgb="FFD8D0C9"/>
      </x:right>
      <x:top style="thin">
        <x:color rgb="FFD8D0C9"/>
      </x:top>
      <x:bottom/>
      <x:diagonal/>
    </x:border>
    <x:border>
      <x:left style="thin">
        <x:color rgb="FFD8D0C9"/>
      </x:left>
      <x:right/>
      <x:top/>
      <x:bottom/>
      <x:diagonal/>
    </x:border>
    <x:border>
      <x:left/>
      <x:right style="thin">
        <x:color rgb="FFD8D0C9"/>
      </x:right>
      <x:top/>
      <x:bottom/>
      <x:diagonal/>
    </x:border>
    <x:border>
      <x:left style="thin">
        <x:color rgb="FFD8D0C9"/>
      </x:left>
      <x:right/>
      <x:top/>
      <x:bottom style="thin">
        <x:color rgb="FFD8D0C9"/>
      </x:bottom>
      <x:diagonal/>
    </x:border>
    <x:border>
      <x:left/>
      <x:right style="thin">
        <x:color rgb="FFD8D0C9"/>
      </x:right>
      <x:top/>
      <x:bottom style="thin">
        <x:color rgb="FFD8D0C9"/>
      </x:bottom>
      <x:diagonal/>
    </x:border>
    <x:border>
      <x:left/>
      <x:right/>
      <x:top style="thin">
        <x:color rgb="FFD8D0C9"/>
      </x:top>
      <x:bottom/>
      <x:diagonal/>
    </x:border>
    <x:border>
      <x:left/>
      <x:right/>
      <x:top/>
      <x:bottom style="thin">
        <x:color rgb="FFD8D0C9"/>
      </x:bottom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/>
      <x:right/>
      <x:top style="thin">
        <x:color rgb="FFD8D0C9"/>
      </x:top>
      <x:bottom style="thin">
        <x:color rgb="FFD8D0C9"/>
      </x:bottom>
      <x:diagonal/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horizontal="right" vertical="center"/>
    </x:xf>
    <x:xf numFmtId="0" fontId="1" fillId="3" borderId="7" xfId="0" applyNumberFormat="1" applyFont="1" applyFill="1" applyBorder="1" applyAlignment="1">
      <x:alignment horizontal="right" vertical="center"/>
    </x:xf>
    <x:xf numFmtId="0" fontId="1" fillId="3" borderId="9" xfId="0" applyNumberFormat="1" applyFont="1" applyFill="1" applyBorder="1" applyAlignment="1">
      <x:alignment horizontal="right" vertical="center"/>
    </x:xf>
    <x:xf numFmtId="0" fontId="1" fillId="4" borderId="4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1" fillId="7" borderId="4" xfId="0" applyNumberFormat="1" applyFont="1" applyFill="1" applyBorder="1"/>
    <x:xf numFmtId="0" fontId="1" fillId="7" borderId="10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11" xfId="0" applyNumberFormat="1" applyFont="1" applyFill="1" applyBorder="1"/>
    <x:xf numFmtId="0" fontId="1" fillId="7" borderId="9" xfId="0" applyNumberFormat="1" applyFont="1" applyFill="1" applyBorder="1"/>
    <x:xf numFmtId="0" fontId="1" fillId="7" borderId="4" xfId="0" applyNumberFormat="1" applyFont="1" applyFill="1" applyBorder="1" applyAlignment="1">
      <x:alignment wrapText="1"/>
    </x:xf>
    <x:xf numFmtId="0" fontId="1" fillId="7" borderId="10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11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4" fillId="2" borderId="1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1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/>
    <x:xf numFmtId="0" fontId="1" fillId="0" borderId="13" xfId="0" applyNumberFormat="1" applyFont="1" applyFill="1" applyBorder="1"/>
    <x:xf numFmtId="0" fontId="1" fillId="0" borderId="11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horizontal="center" vertical="top" wrapText="1"/>
    </x:xf>
    <x:xf numFmtId="0" fontId="1" fillId="0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C95000"/>
      </x:font>
      <x:fill>
        <x:patternFill patternType="solid">
          <x:bgColor rgb="FFFBE7D6"/>
        </x:patternFill>
      </x:fill>
    </x:dxf>
    <x:dxf>
      <x:font>
        <x:b/>
        <x:color rgb="FF2E1F17"/>
      </x:font>
      <x:fill>
        <x:patternFill patternType="solid">
          <x:bgColor rgb="FFF7F4EE"/>
        </x:patternFill>
      </x:fill>
    </x:dxf>
    <x:dxf>
      <x:font>
        <x:b/>
        <x:color rgb="FFE63946"/>
      </x:font>
      <x:fill>
        <x:patternFill patternType="solid">
          <x:bgColor rgb="FFFD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6495507a14fc9" /><Relationship Type="http://schemas.openxmlformats.org/officeDocument/2006/relationships/theme" Target="/xl/theme/theme1.xml" Id="Rbc9b94c4ef8c494c" /><Relationship Type="http://schemas.openxmlformats.org/officeDocument/2006/relationships/sharedStrings" Target="/xl/sharedStrings.xml" Id="R5dbd4243bcd14adc" /><Relationship Type="http://schemas.openxmlformats.org/officeDocument/2006/relationships/worksheet" Target="/xl/worksheets/sheet1.xml" Id="R8ee4d4f41e1c45a4" /><Relationship Type="http://schemas.openxmlformats.org/officeDocument/2006/relationships/worksheet" Target="/xl/worksheets/sheet2.xml" Id="Ra7b2ae3574ec47eb" /></Relationships>
</file>

<file path=xl/tables/table1.xml><?xml version="1.0" encoding="utf-8"?>
<x:table xmlns:x="http://schemas.openxmlformats.org/spreadsheetml/2006/main" id="1" name="MatrizRefinamento" displayName="MatrizRefinamento" ref="A4:M30" headerRowCount="1" totalsRowCount="0" totalsRowShown="0">
  <x:tableColumns count="13">
    <x:tableColumn id="1" name="ID"/>
    <x:tableColumn id="2" name="Origem"/>
    <x:tableColumn id="3" name="Carta / insight"/>
    <x:tableColumn id="4" name="Explicação resumida"/>
    <x:tableColumn id="5" name="Contemplado?"/>
    <x:tableColumn id="6" name="Como foi aplicado no Bite"/>
    <x:tableColumn id="7" name="Tela / rota / componente"/>
    <x:tableColumn id="8" name="Evidência"/>
    <x:tableColumn id="9" name="Motivo se não contemplado / limite ético"/>
    <x:tableColumn id="10" name="Fonte"/>
    <x:tableColumn id="11" name="Versão"/>
    <x:tableColumn id="12" name="Teste de aceite"/>
    <x:tableColumn id="13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d7430c593f4abc" /></Relationships>
</file>

<file path=xl/worksheets/sheet1.xml><?xml version="1.0" encoding="utf-8"?>
<x:worksheet xmlns:x="http://schemas.openxmlformats.org/spreadsheetml/2006/main">
  <x:sheetPr>
    <x:tabColor rgb="FF2E1F17"/>
  </x:sheetPr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3" hidden="0" customWidth="1"/>
    <x:col min="4" max="4" width="24" hidden="0" customWidth="1"/>
    <x:col min="5" max="5" width="12" hidden="0" customWidth="1"/>
    <x:col min="6" max="6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3" t="str">
        <x:v>Matriz de vieses e insights — Bite</x:v>
      </x:c>
      <x:c r="B2" s="3"/>
      <x:c r="C2" s="3"/>
      <x:c r="D2" s="3"/>
      <x:c r="E2" s="3"/>
      <x:c r="F2" s="3"/>
      <x:c r="G2" s="1"/>
      <x:c r="H2" s="1"/>
      <x:c r="I2" s="1"/>
      <x:c r="J2" s="1"/>
      <x:c r="K2" s="1"/>
      <x:c r="L2" s="1"/>
      <x:c r="M2" s="1"/>
    </x:row>
    <x:row r="3" ht="22" customHeight="1">
      <x:c r="A3" s="5" t="str">
        <x:v>Rastreabilidade acadêmica do refinamento responsável de UX • 27/10/2026</x:v>
      </x:c>
      <x:c r="B3" s="5"/>
      <x:c r="C3" s="5"/>
      <x:c r="D3" s="5"/>
      <x:c r="E3" s="5"/>
      <x:c r="F3" s="5"/>
      <x:c r="G3" s="1"/>
      <x:c r="H3" s="1"/>
      <x:c r="I3" s="1"/>
      <x:c r="J3" s="1"/>
      <x:c r="K3" s="1"/>
      <x:c r="L3" s="1"/>
      <x:c r="M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2" customHeight="1">
      <x:c r="A5" s="12" t="str">
        <x:v>Cobertura</x:v>
      </x:c>
      <x:c r="B5" s="13" t="str">
        <x:v>Quantidade</x:v>
      </x:c>
      <x:c r="C5" s="1"/>
      <x:c r="D5" s="12" t="str">
        <x:v>Status</x:v>
      </x:c>
      <x:c r="E5" s="13" t="str">
        <x:v>Quantidade</x:v>
      </x:c>
      <x:c r="F5" s="1"/>
      <x:c r="G5" s="1"/>
      <x:c r="H5" s="1"/>
      <x:c r="I5" s="1"/>
      <x:c r="J5" s="1"/>
      <x:c r="K5" s="1"/>
      <x:c r="L5" s="1"/>
      <x:c r="M5" s="1"/>
    </x:row>
    <x:row r="6" ht="22" customHeight="1">
      <x:c r="A6" s="21" t="str">
        <x:v>Total de linhas</x:v>
      </x:c>
      <x:c r="B6" s="27" t="n">
        <x:f>COUNTA(Matriz!$A$5:$A$30)</x:f>
        <x:v>26</x:v>
      </x:c>
      <x:c r="C6" s="1"/>
      <x:c r="D6" s="31" t="str">
        <x:v>Sim</x:v>
      </x:c>
      <x:c r="E6" s="27" t="n">
        <x:f>COUNTIF(Matriz!$E$5:$E$30,"Sim")</x:f>
        <x:v>15</x:v>
      </x:c>
      <x:c r="F6" s="1"/>
      <x:c r="G6" s="1"/>
      <x:c r="H6" s="1"/>
      <x:c r="I6" s="1"/>
      <x:c r="J6" s="1"/>
      <x:c r="K6" s="1"/>
      <x:c r="L6" s="1"/>
      <x:c r="M6" s="1"/>
    </x:row>
    <x:row r="7" ht="22" customHeight="1">
      <x:c r="A7" s="23" t="str">
        <x:v>Cartas do baralho</x:v>
      </x:c>
      <x:c r="B7" s="28" t="n">
        <x:f>COUNTIF(Matriz!$B$5:$B$30,"Baralho de vieses")</x:f>
        <x:v>16</x:v>
      </x:c>
      <x:c r="C7" s="1"/>
      <x:c r="D7" s="33" t="str">
        <x:v>Parcial</x:v>
      </x:c>
      <x:c r="E7" s="28" t="n">
        <x:f>COUNTIF(Matriz!$E$5:$E$30,"Parcial")</x:f>
        <x:v>2</x:v>
      </x:c>
      <x:c r="F7" s="1"/>
      <x:c r="G7" s="1"/>
      <x:c r="H7" s="1"/>
      <x:c r="I7" s="1"/>
      <x:c r="J7" s="1"/>
      <x:c r="K7" s="1"/>
      <x:c r="L7" s="1"/>
      <x:c r="M7" s="1"/>
    </x:row>
    <x:row r="8" ht="22" customHeight="1">
      <x:c r="A8" s="23" t="str">
        <x:v>Insights Amazon</x:v>
      </x:c>
      <x:c r="B8" s="28" t="n">
        <x:f>COUNTIF(Matriz!$B$5:$B$30,"Growth.Design — Amazon Purchase UX")</x:f>
        <x:v>9</x:v>
      </x:c>
      <x:c r="C8" s="1"/>
      <x:c r="D8" s="34" t="str">
        <x:v>Não</x:v>
      </x:c>
      <x:c r="E8" s="28" t="n">
        <x:f>COUNTIF(Matriz!$E$5:$E$30,"Não")</x:f>
        <x:v>8</x:v>
      </x:c>
      <x:c r="F8" s="1"/>
      <x:c r="G8" s="1"/>
      <x:c r="H8" s="1"/>
      <x:c r="I8" s="1"/>
      <x:c r="J8" s="1"/>
      <x:c r="K8" s="1"/>
      <x:c r="L8" s="1"/>
      <x:c r="M8" s="1"/>
    </x:row>
    <x:row r="9" ht="22" customHeight="1">
      <x:c r="A9" s="25" t="str">
        <x:v>Caso Facebook pendente</x:v>
      </x:c>
      <x:c r="B9" s="29" t="n">
        <x:f>COUNTIF(Matriz!$E$5:$E$30,"Pendente de fonte")</x:f>
        <x:v>1</x:v>
      </x:c>
      <x:c r="C9" s="1"/>
      <x:c r="D9" s="36" t="str">
        <x:v>Pendente de fonte</x:v>
      </x:c>
      <x:c r="E9" s="29" t="n">
        <x:f>COUNTIF(Matriz!$E$5:$E$30,"Pendente de fonte")</x:f>
        <x:v>1</x:v>
      </x:c>
      <x:c r="F9" s="1"/>
      <x:c r="G9" s="1"/>
      <x:c r="H9" s="1"/>
      <x:c r="I9" s="1"/>
      <x:c r="J9" s="1"/>
      <x:c r="K9" s="1"/>
      <x:c r="L9" s="1"/>
      <x:c r="M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2" customHeight="1">
      <x:c r="A11" s="7" t="str">
        <x:v>Leitura dos resultados</x:v>
      </x:c>
      <x:c r="B11" s="7"/>
      <x:c r="C11" s="7"/>
      <x:c r="D11" s="7"/>
      <x:c r="E11" s="7"/>
      <x:c r="F11" s="7"/>
      <x:c r="G11" s="1"/>
      <x:c r="H11" s="1"/>
      <x:c r="I11" s="1"/>
      <x:c r="J11" s="1"/>
      <x:c r="K11" s="1"/>
      <x:c r="L11" s="1"/>
      <x:c r="M11" s="1"/>
    </x:row>
    <x:row r="12" ht="28" customHeight="1">
      <x:c r="A12" s="55" t="str">
        <x:v>• As 16 cartas foram analisadas individualmente: 9 Sim, 2 Parcial e 5 Não.</x:v>
      </x:c>
      <x:c r="B12" s="56"/>
      <x:c r="C12" s="56"/>
      <x:c r="D12" s="56"/>
      <x:c r="E12" s="56"/>
      <x:c r="F12" s="57"/>
      <x:c r="G12" s="1"/>
      <x:c r="H12" s="1"/>
      <x:c r="I12" s="1"/>
      <x:c r="J12" s="1"/>
      <x:c r="K12" s="1"/>
      <x:c r="L12" s="1"/>
      <x:c r="M12" s="1"/>
    </x:row>
    <x:row r="13" ht="28" customHeight="1">
      <x:c r="A13" s="58" t="str">
        <x:v>• O caso Amazon foi desdobrado em 9 insights: 6 Sim e 3 Não.</x:v>
      </x:c>
      <x:c r="B13" s="59"/>
      <x:c r="C13" s="59"/>
      <x:c r="D13" s="59"/>
      <x:c r="E13" s="59"/>
      <x:c r="F13" s="60"/>
      <x:c r="G13" s="1"/>
      <x:c r="H13" s="1"/>
      <x:c r="I13" s="1"/>
      <x:c r="J13" s="1"/>
      <x:c r="K13" s="1"/>
      <x:c r="L13" s="1"/>
      <x:c r="M13" s="1"/>
    </x:row>
    <x:row r="14" ht="28" customHeight="1">
      <x:c r="A14" s="58" t="str">
        <x:v>• O caso Facebook permanece com 1 linha pendente porque os slides não estavam acessíveis na página pública.</x:v>
      </x:c>
      <x:c r="B14" s="59"/>
      <x:c r="C14" s="59"/>
      <x:c r="D14" s="59"/>
      <x:c r="E14" s="59"/>
      <x:c r="F14" s="60"/>
      <x:c r="G14" s="1"/>
      <x:c r="H14" s="1"/>
      <x:c r="I14" s="1"/>
      <x:c r="J14" s="1"/>
      <x:c r="K14" s="1"/>
      <x:c r="L14" s="1"/>
      <x:c r="M14" s="1"/>
    </x:row>
    <x:row r="15" ht="28" customHeight="1">
      <x:c r="A15" s="61" t="str">
        <x:v>• ‘Não’ e ‘Parcial’ são decisões válidas quando preservam a baseline neutra e evitam dark patterns.</x:v>
      </x:c>
      <x:c r="B15" s="62"/>
      <x:c r="C15" s="62"/>
      <x:c r="D15" s="62"/>
      <x:c r="E15" s="62"/>
      <x:c r="F15" s="63"/>
      <x:c r="G15" s="1"/>
      <x:c r="H15" s="1"/>
      <x:c r="I15" s="1"/>
      <x:c r="J15" s="1"/>
      <x:c r="K15" s="1"/>
      <x:c r="L15" s="1"/>
      <x:c r="M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2" customHeight="1">
      <x:c r="A17" s="7" t="str">
        <x:v>Fontes verificadas</x:v>
      </x:c>
      <x:c r="B17" s="7"/>
      <x:c r="C17" s="7"/>
      <x:c r="D17" s="7"/>
      <x:c r="E17" s="7"/>
      <x:c r="F17" s="7"/>
      <x:c r="G17" s="1"/>
      <x:c r="H17" s="1"/>
      <x:c r="I17" s="1"/>
      <x:c r="J17" s="1"/>
      <x:c r="K17" s="1"/>
      <x:c r="L17" s="1"/>
      <x:c r="M17" s="1"/>
    </x:row>
    <x:row r="18" ht="22" customHeight="1">
      <x:c r="A18" s="75" t="str">
        <x:v>baralho de viéses.zip (16 cartas fornecidas pela disciplina)</x:v>
      </x:c>
      <x:c r="B18" s="76"/>
      <x:c r="C18" s="76"/>
      <x:c r="D18" s="76"/>
      <x:c r="E18" s="76"/>
      <x:c r="F18" s="77"/>
      <x:c r="G18" s="1"/>
      <x:c r="H18" s="1"/>
      <x:c r="I18" s="1"/>
      <x:c r="J18" s="1"/>
      <x:c r="K18" s="1"/>
      <x:c r="L18" s="1"/>
      <x:c r="M18" s="1"/>
    </x:row>
    <x:row r="19" ht="22" customHeight="1">
      <x:c r="A19" s="78" t="str">
        <x:v>https://growth.design/case-studies/amazon-purchase-ux</x:v>
      </x:c>
      <x:c r="B19" s="79"/>
      <x:c r="C19" s="79"/>
      <x:c r="D19" s="79"/>
      <x:c r="E19" s="79"/>
      <x:c r="F19" s="80"/>
      <x:c r="G19" s="1"/>
      <x:c r="H19" s="1"/>
      <x:c r="I19" s="1"/>
      <x:c r="J19" s="1"/>
      <x:c r="K19" s="1"/>
      <x:c r="L19" s="1"/>
      <x:c r="M19" s="1"/>
    </x:row>
    <x:row r="20" ht="22" customHeight="1">
      <x:c r="A20" s="81" t="str">
        <x:v>https://growth.design/case-studies/facebook-misinformation</x:v>
      </x:c>
      <x:c r="B20" s="82"/>
      <x:c r="C20" s="82"/>
      <x:c r="D20" s="82"/>
      <x:c r="E20" s="82"/>
      <x:c r="F20" s="83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mergeCells>
    <x:mergeCell ref="A2:F2"/>
    <x:mergeCell ref="A3:F3"/>
    <x:mergeCell ref="A11:F11"/>
    <x:mergeCell ref="A12:F12"/>
    <x:mergeCell ref="A13:F13"/>
    <x:mergeCell ref="A14:F14"/>
    <x:mergeCell ref="A15:F15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42" hidden="0" customWidth="1"/>
    <x:col min="5" max="5" width="18" hidden="0" customWidth="1"/>
    <x:col min="6" max="6" width="48" hidden="0" customWidth="1"/>
    <x:col min="7" max="7" width="34" hidden="0" customWidth="1"/>
    <x:col min="8" max="8" width="55" hidden="0" customWidth="1"/>
    <x:col min="9" max="9" width="48" hidden="0" customWidth="1"/>
    <x:col min="10" max="10" width="52" hidden="0" customWidth="1"/>
    <x:col min="11" max="11" width="18" hidden="0" customWidth="1"/>
    <x:col min="12" max="12" width="48" hidden="0" customWidth="1"/>
    <x:col min="13" max="13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84" t="str">
        <x:v>Matriz detalhada de rastreabilidade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</x:row>
    <x:row r="3">
      <x:c r="A3" s="4" t="str">
        <x:v>Uma linha por carta ou insight verificado. Use os filtros da linha 4 para revisar origem, status e decisão ética.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42" customHeight="1">
      <x:c r="A4" s="92" t="str">
        <x:v>ID</x:v>
      </x:c>
      <x:c r="B4" s="93" t="str">
        <x:v>Origem</x:v>
      </x:c>
      <x:c r="C4" s="93" t="str">
        <x:v>Carta / insight</x:v>
      </x:c>
      <x:c r="D4" s="93" t="str">
        <x:v>Explicação resumida</x:v>
      </x:c>
      <x:c r="E4" s="93" t="str">
        <x:v>Contemplado?</x:v>
      </x:c>
      <x:c r="F4" s="93" t="str">
        <x:v>Como foi aplicado no Bite</x:v>
      </x:c>
      <x:c r="G4" s="93" t="str">
        <x:v>Tela / rota / componente</x:v>
      </x:c>
      <x:c r="H4" s="93" t="str">
        <x:v>Evidência</x:v>
      </x:c>
      <x:c r="I4" s="93" t="str">
        <x:v>Motivo se não contemplado / limite ético</x:v>
      </x:c>
      <x:c r="J4" s="93" t="str">
        <x:v>Fonte</x:v>
      </x:c>
      <x:c r="K4" s="93" t="str">
        <x:v>Versão</x:v>
      </x:c>
      <x:c r="L4" s="93" t="str">
        <x:v>Teste de aceite</x:v>
      </x:c>
      <x:c r="M4" s="94" t="str">
        <x:v>Observação</x:v>
      </x:c>
    </x:row>
    <x:row r="5" ht="82" customHeight="1">
      <x:c r="A5" s="101" t="str">
        <x:v>B01</x:v>
      </x:c>
      <x:c r="B5" s="99" t="str">
        <x:v>Baralho de vieses</x:v>
      </x:c>
      <x:c r="C5" s="99" t="str">
        <x:v>Efeito Ancoragem</x:v>
      </x:c>
      <x:c r="D5" s="99" t="str">
        <x:v>A primeira referência influencia a avaliação de valor.</x:v>
      </x:c>
      <x:c r="E5" s="101" t="str">
        <x:v>Sim</x:v>
      </x:c>
      <x:c r="F5" s="99" t="str">
        <x:v>Mostra preço base, acréscimos e total sem preço anterior fictício.</x:v>
      </x:c>
      <x:c r="G5" s="99" t="str">
        <x:v>/produto/[slug]; /carrinho; /checkout</x:v>
      </x:c>
      <x:c r="H5" s="99" t="str">
        <x:v>src/components/menu/product-customizer.tsx; docs/academico/evidencias/depois/03-produto-desktop.png</x:v>
      </x:c>
      <x:c r="I5" s="99" t="str">
        <x:v>Aplicação defensiva: transparência reduz ancoragem promocional.</x:v>
      </x:c>
      <x:c r="J5" s="99" t="str">
        <x:v>baralho de viéses.zip (16 cartas fornecidas pela disciplina)</x:v>
      </x:c>
      <x:c r="K5" s="101" t="str">
        <x:v>Baseline refinada</x:v>
      </x:c>
      <x:c r="L5" s="99" t="str">
        <x:v>Base + acréscimos × quantidade devem resultar no total exibido.</x:v>
      </x:c>
      <x:c r="M5" s="99" t="str">
        <x:v>Sem desconto ou preço riscado.</x:v>
      </x:c>
    </x:row>
    <x:row r="6" ht="82" customHeight="1">
      <x:c r="A6" s="102" t="str">
        <x:v>B02</x:v>
      </x:c>
      <x:c r="B6" s="100" t="str">
        <x:v>Baralho de vieses</x:v>
      </x:c>
      <x:c r="C6" s="100" t="str">
        <x:v>Efeito Chamariz</x:v>
      </x:c>
      <x:c r="D6" s="100" t="str">
        <x:v>Uma alternativa inferior pode deslocar a escolha para outra.</x:v>
      </x:c>
      <x:c r="E6" s="102" t="str">
        <x:v>Não</x:v>
      </x:c>
      <x:c r="F6" s="100" t="str">
        <x:v>Alternativas equivalentes mantêm tamanho, tipografia e cor equivalentes.</x:v>
      </x:c>
      <x:c r="G6" s="100" t="str">
        <x:v>/produto/[slug]; /checkout</x:v>
      </x:c>
      <x:c r="H6" s="100" t="str">
        <x:v>src/components/menu/product-customizer.tsx; src/components/checkout/checkout-form.tsx</x:v>
      </x:c>
      <x:c r="I6" s="100" t="str">
        <x:v>Criar chamariz violaria a neutralidade exigida para a baseline.</x:v>
      </x:c>
      <x:c r="J6" s="100" t="str">
        <x:v>baralho de viéses.zip (16 cartas fornecidas pela disciplina)</x:v>
      </x:c>
      <x:c r="K6" s="102" t="str">
        <x:v>Baseline refinada</x:v>
      </x:c>
      <x:c r="L6" s="100" t="str">
        <x:v>Comparar visualmente opções não selecionadas; nenhuma deve ter destaque seletivo.</x:v>
      </x:c>
      <x:c r="M6" s="100" t="str">
        <x:v>Rejeitado por limite ético.</x:v>
      </x:c>
    </x:row>
    <x:row r="7" ht="82" customHeight="1">
      <x:c r="A7" s="102" t="str">
        <x:v>B03</x:v>
      </x:c>
      <x:c r="B7" s="100" t="str">
        <x:v>Baralho de vieses</x:v>
      </x:c>
      <x:c r="C7" s="100" t="str">
        <x:v>Efeito Halo</x:v>
      </x:c>
      <x:c r="D7" s="100" t="str">
        <x:v>A percepção positiva de um atributo pode contaminar a avaliação do conjunto.</x:v>
      </x:c>
      <x:c r="E7" s="102" t="str">
        <x:v>Sim</x:v>
      </x:c>
      <x:c r="F7" s="100" t="str">
        <x:v>Usa marca, componentes e fotografias locais consistentes, sem endosso inventado.</x:v>
      </x:c>
      <x:c r="G7" s="100" t="str">
        <x:v>/; /cardapio</x:v>
      </x:c>
      <x:c r="H7" s="100" t="str">
        <x:v>public/brand/bite-logo.png; public/images/menu/SOURCES.md</x:v>
      </x:c>
      <x:c r="I7" s="100" t="str">
        <x:v>Aplicação limitada à coerência visual, não à alegação de qualidade.</x:v>
      </x:c>
      <x:c r="J7" s="100" t="str">
        <x:v>baralho de viéses.zip (16 cartas fornecidas pela disciplina)</x:v>
      </x:c>
      <x:c r="K7" s="102" t="str">
        <x:v>Baseline refinada</x:v>
      </x:c>
      <x:c r="L7" s="100" t="str">
        <x:v>Imagens locais carregam com alt adequado e sem selo de terceiros.</x:v>
      </x:c>
      <x:c r="M7" s="100" t="str">
        <x:v>Uso responsável de consistência.</x:v>
      </x:c>
    </x:row>
    <x:row r="8" ht="82" customHeight="1">
      <x:c r="A8" s="102" t="str">
        <x:v>B04</x:v>
      </x:c>
      <x:c r="B8" s="100" t="str">
        <x:v>Baralho de vieses</x:v>
      </x:c>
      <x:c r="C8" s="100" t="str">
        <x:v>Efeito Hawthorne</x:v>
      </x:c>
      <x:c r="D8" s="100" t="str">
        <x:v>Pessoas podem mudar o comportamento quando sabem que são observadas.</x:v>
      </x:c>
      <x:c r="E8" s="102" t="str">
        <x:v>Não</x:v>
      </x:c>
      <x:c r="F8" s="100" t="str">
        <x:v>Não há analytics, gravação de sessão ou coleta comportamental.</x:v>
      </x:c>
      <x:c r="G8" s="100" t="str">
        <x:v>Aplicação inteira</x:v>
      </x:c>
      <x:c r="H8" s="100" t="str">
        <x:v>README.md; busca no código por scripts de tracking</x:v>
      </x:c>
      <x:c r="I8" s="100" t="str">
        <x:v>A disciplina exige baseline sem coleta de comportamento.</x:v>
      </x:c>
      <x:c r="J8" s="100" t="str">
        <x:v>baralho de viéses.zip (16 cartas fornecidas pela disciplina)</x:v>
      </x:c>
      <x:c r="K8" s="102" t="str">
        <x:v>Baseline refinada</x:v>
      </x:c>
      <x:c r="L8" s="100" t="str">
        <x:v>O app deve funcionar sem cookies ou serviços analíticos.</x:v>
      </x:c>
      <x:c r="M8" s="100" t="str">
        <x:v>Dados ficam no navegador.</x:v>
      </x:c>
    </x:row>
    <x:row r="9" ht="82" customHeight="1">
      <x:c r="A9" s="102" t="str">
        <x:v>B05</x:v>
      </x:c>
      <x:c r="B9" s="100" t="str">
        <x:v>Baralho de vieses</x:v>
      </x:c>
      <x:c r="C9" s="100" t="str">
        <x:v>Efeito Holofote</x:v>
      </x:c>
      <x:c r="D9" s="100" t="str">
        <x:v>Tendemos a superestimar quanto os outros percebem nossas ações.</x:v>
      </x:c>
      <x:c r="E9" s="102" t="str">
        <x:v>Sim</x:v>
      </x:c>
      <x:c r="F9" s="100" t="str">
        <x:v>Edição é privada; erros são objetivos; remoção oferece desfazer sem constrangimento.</x:v>
      </x:c>
      <x:c r="G9" s="100" t="str">
        <x:v>/carrinho</x:v>
      </x:c>
      <x:c r="H9" s="100" t="str">
        <x:v>src/components/cart/cart-view.tsx; e2e/order-flow.spec.ts</x:v>
      </x:c>
      <x:c r="I9" s="100" t="str">
        <x:v>A aplicação reduz exposição percebida em vez de explorá-la.</x:v>
      </x:c>
      <x:c r="J9" s="100" t="str">
        <x:v>baralho de viéses.zip (16 cartas fornecidas pela disciplina)</x:v>
      </x:c>
      <x:c r="K9" s="102" t="str">
        <x:v>Baseline refinada</x:v>
      </x:c>
      <x:c r="L9" s="100" t="str">
        <x:v>Editar e remover devem funcionar sem mensagem moralizante.</x:v>
      </x:c>
      <x:c r="M9" s="100" t="str">
        <x:v>Feedback de interação, não persuasão.</x:v>
      </x:c>
    </x:row>
    <x:row r="10" ht="82" customHeight="1">
      <x:c r="A10" s="102" t="str">
        <x:v>B06</x:v>
      </x:c>
      <x:c r="B10" s="100" t="str">
        <x:v>Baralho de vieses</x:v>
      </x:c>
      <x:c r="C10" s="100" t="str">
        <x:v>Efeito Padrão</x:v>
      </x:c>
      <x:c r="D10" s="100" t="str">
        <x:v>Opções predefinidas tendem a ser mantidas por esforço ou incerteza.</x:v>
      </x:c>
      <x:c r="E10" s="102" t="str">
        <x:v>Sim</x:v>
      </x:c>
      <x:c r="F10" s="100" t="str">
        <x:v>Personalizações e pagamento começam desmarcados; edição restaura apenas a escolha anterior do usuário.</x:v>
      </x:c>
      <x:c r="G10" s="100" t="str">
        <x:v>/produto/[slug]; /checkout</x:v>
      </x:c>
      <x:c r="H10" s="100" t="str">
        <x:v>src/components/menu/product-customizer.tsx; src/components/checkout/checkout-form.tsx</x:v>
      </x:c>
      <x:c r="I10" s="100" t="str">
        <x:v>Aplicação defensiva contra consentimento presumido.</x:v>
      </x:c>
      <x:c r="J10" s="100" t="str">
        <x:v>baralho de viéses.zip (16 cartas fornecidas pela disciplina)</x:v>
      </x:c>
      <x:c r="K10" s="102" t="str">
        <x:v>Baseline refinada</x:v>
      </x:c>
      <x:c r="L10" s="100" t="str">
        <x:v>Botão de adicionar fica indisponível até escolhas obrigatórias; pagamento inicia vazio.</x:v>
      </x:c>
      <x:c r="M10" s="100" t="str">
        <x:v>Edição preserva escolha própria.</x:v>
      </x:c>
    </x:row>
    <x:row r="11" ht="82" customHeight="1">
      <x:c r="A11" s="102" t="str">
        <x:v>B07</x:v>
      </x:c>
      <x:c r="B11" s="100" t="str">
        <x:v>Baralho de vieses</x:v>
      </x:c>
      <x:c r="C11" s="100" t="str">
        <x:v>Efeito Placebo</x:v>
      </x:c>
      <x:c r="D11" s="100" t="str">
        <x:v>Expectativas podem alterar percepção sem efeito ativo comprovado.</x:v>
      </x:c>
      <x:c r="E11" s="102" t="str">
        <x:v>Não</x:v>
      </x:c>
      <x:c r="F11" s="100" t="str">
        <x:v>Não cria alegações de saúde, desempenho ou benefício subjetivo.</x:v>
      </x:c>
      <x:c r="G11" s="100" t="str">
        <x:v>/cardapio; /produto/[slug]</x:v>
      </x:c>
      <x:c r="H11" s="100" t="str">
        <x:v>src/data/menu.ts; src/app/produto/[slug]/page.tsx</x:v>
      </x:c>
      <x:c r="I11" s="100" t="str">
        <x:v>Não há evidência para promessas; aplicá-lo seria enganoso.</x:v>
      </x:c>
      <x:c r="J11" s="100" t="str">
        <x:v>baralho de viéses.zip (16 cartas fornecidas pela disciplina)</x:v>
      </x:c>
      <x:c r="K11" s="102" t="str">
        <x:v>Baseline refinada</x:v>
      </x:c>
      <x:c r="L11" s="100" t="str">
        <x:v>Textos do catálogo não podem usar classificações moralizantes ou alegações sem fonte.</x:v>
      </x:c>
      <x:c r="M11" s="100" t="str">
        <x:v>Rejeitado por integridade informacional.</x:v>
      </x:c>
    </x:row>
    <x:row r="12" ht="82" customHeight="1">
      <x:c r="A12" s="102" t="str">
        <x:v>B08</x:v>
      </x:c>
      <x:c r="B12" s="100" t="str">
        <x:v>Baralho de vieses</x:v>
      </x:c>
      <x:c r="C12" s="100" t="str">
        <x:v>Efeito Priming</x:v>
      </x:c>
      <x:c r="D12" s="100" t="str">
        <x:v>Contextos recentes podem preparar associações e influenciar decisões.</x:v>
      </x:c>
      <x:c r="E12" s="102" t="str">
        <x:v>Parcial</x:v>
      </x:c>
      <x:c r="F12" s="100" t="str">
        <x:v>Imagens e categorias apoiam reconhecimento, enquanto ordem e textos permanecem neutros.</x:v>
      </x:c>
      <x:c r="G12" s="100" t="str">
        <x:v>/; /cardapio</x:v>
      </x:c>
      <x:c r="H12" s="100" t="str">
        <x:v>src/data/menu.ts; src/components/menu/menu-browser.tsx</x:v>
      </x:c>
      <x:c r="I12" s="100" t="str">
        <x:v>Elementos visuais são necessários, mas não são usados para preparar uma escolha específica.</x:v>
      </x:c>
      <x:c r="J12" s="100" t="str">
        <x:v>baralho de viéses.zip (16 cartas fornecidas pela disciplina)</x:v>
      </x:c>
      <x:c r="K12" s="102" t="str">
        <x:v>Baseline refinada</x:v>
      </x:c>
      <x:c r="L12" s="100" t="str">
        <x:v>Itens devem seguir ordenação determinística e nenhum prato deve ser promovido.</x:v>
      </x:c>
      <x:c r="M12" s="100" t="str">
        <x:v>Contemplado somente como risco controlado.</x:v>
      </x:c>
    </x:row>
    <x:row r="13" ht="82" customHeight="1">
      <x:c r="A13" s="102" t="str">
        <x:v>B09</x:v>
      </x:c>
      <x:c r="B13" s="100" t="str">
        <x:v>Baralho de vieses</x:v>
      </x:c>
      <x:c r="C13" s="100" t="str">
        <x:v>Viés da Contabilidade Mental</x:v>
      </x:c>
      <x:c r="D13" s="100" t="str">
        <x:v>Separar valores em contas mentais pode distorcer a percepção do gasto total.</x:v>
      </x:c>
      <x:c r="E13" s="102" t="str">
        <x:v>Sim</x:v>
      </x:c>
      <x:c r="F13" s="100" t="str">
        <x:v>Explicita base, acréscimos, subtotal, taxa de retirada e total.</x:v>
      </x:c>
      <x:c r="G13" s="100" t="str">
        <x:v>/produto/[slug]; /carrinho; /checkout</x:v>
      </x:c>
      <x:c r="H13" s="100" t="str">
        <x:v>docs/academico/evidencias/depois/03-produto-desktop.png; docs/academico/evidencias/depois/05-checkout-desktop.png</x:v>
      </x:c>
      <x:c r="I13" s="100" t="str">
        <x:v>A decomposição é acompanhada do total para evitar fragmentação enganosa.</x:v>
      </x:c>
      <x:c r="J13" s="100" t="str">
        <x:v>baralho de viéses.zip (16 cartas fornecidas pela disciplina)</x:v>
      </x:c>
      <x:c r="K13" s="102" t="str">
        <x:v>Baseline refinada</x:v>
      </x:c>
      <x:c r="L13" s="100" t="str">
        <x:v>Subtotal + taxa de retirada deve ser igual ao total.</x:v>
      </x:c>
      <x:c r="M13" s="100" t="str">
        <x:v>Taxa atual: R$ 0,00.</x:v>
      </x:c>
    </x:row>
    <x:row r="14" ht="82" customHeight="1">
      <x:c r="A14" s="102" t="str">
        <x:v>B10</x:v>
      </x:c>
      <x:c r="B14" s="100" t="str">
        <x:v>Baralho de vieses</x:v>
      </x:c>
      <x:c r="C14" s="100" t="str">
        <x:v>Viés de Confirmação</x:v>
      </x:c>
      <x:c r="D14" s="100" t="str">
        <x:v>Buscamos informações que reforçam crenças prévias.</x:v>
      </x:c>
      <x:c r="E14" s="102" t="str">
        <x:v>Sim</x:v>
      </x:c>
      <x:c r="F14" s="100" t="str">
        <x:v>Declara ingredientes e alergênicos como não informados, sem inferir segurança.</x:v>
      </x:c>
      <x:c r="G14" s="100" t="str">
        <x:v>/produto/[slug]</x:v>
      </x:c>
      <x:c r="H14" s="100" t="str">
        <x:v>src/app/produto/[slug]/page.tsx; e2e/order-flow.spec.ts</x:v>
      </x:c>
      <x:c r="I14" s="100" t="str">
        <x:v>Evita confirmar expectativas sobre composição com dados inexistentes.</x:v>
      </x:c>
      <x:c r="J14" s="100" t="str">
        <x:v>baralho de viéses.zip (16 cartas fornecidas pela disciplina)</x:v>
      </x:c>
      <x:c r="K14" s="102" t="str">
        <x:v>Baseline refinada</x:v>
      </x:c>
      <x:c r="L14" s="100" t="str">
        <x:v>Página deve orientar confirmação da composição em caso de alergia.</x:v>
      </x:c>
      <x:c r="M14" s="100" t="str">
        <x:v>Informação ausente fica explícita.</x:v>
      </x:c>
    </x:row>
    <x:row r="15" ht="82" customHeight="1">
      <x:c r="A15" s="102" t="str">
        <x:v>B11</x:v>
      </x:c>
      <x:c r="B15" s="100" t="str">
        <x:v>Baralho de vieses</x:v>
      </x:c>
      <x:c r="C15" s="100" t="str">
        <x:v>Viés de Disponibilidade</x:v>
      </x:c>
      <x:c r="D15" s="100" t="str">
        <x:v>Exemplos recentes ou vívidos parecem mais frequentes ou importantes.</x:v>
      </x:c>
      <x:c r="E15" s="102" t="str">
        <x:v>Não</x:v>
      </x:c>
      <x:c r="F15" s="100" t="str">
        <x:v>Não exibe atividade recente, popularidade ou pedidos de outras pessoas.</x:v>
      </x:c>
      <x:c r="G15" s="100" t="str">
        <x:v>Aplicação inteira</x:v>
      </x:c>
      <x:c r="H15" s="100" t="str">
        <x:v>src/data/menu.ts; src/data/academic-refinements.ts</x:v>
      </x:c>
      <x:c r="I15" s="100" t="str">
        <x:v>Sem dados reais, exemplos recentes seriam fabricados e persuasivos.</x:v>
      </x:c>
      <x:c r="J15" s="100" t="str">
        <x:v>baralho de viéses.zip (16 cartas fornecidas pela disciplina)</x:v>
      </x:c>
      <x:c r="K15" s="102" t="str">
        <x:v>Baseline refinada</x:v>
      </x:c>
      <x:c r="L15" s="100" t="str">
        <x:v>Busca textual não deve encontrar rótulos como ‘mais pedido’ ou ‘popular’.</x:v>
      </x:c>
      <x:c r="M15" s="100" t="str">
        <x:v>Rejeitado por ausência de dados.</x:v>
      </x:c>
    </x:row>
    <x:row r="16" ht="82" customHeight="1">
      <x:c r="A16" s="102" t="str">
        <x:v>B12</x:v>
      </x:c>
      <x:c r="B16" s="100" t="str">
        <x:v>Baralho de vieses</x:v>
      </x:c>
      <x:c r="C16" s="100" t="str">
        <x:v>Viés de Enquadramento</x:v>
      </x:c>
      <x:c r="D16" s="100" t="str">
        <x:v>A forma de apresentar o mesmo fato altera a reação.</x:v>
      </x:c>
      <x:c r="E16" s="102" t="str">
        <x:v>Sim</x:v>
      </x:c>
      <x:c r="F16" s="100" t="str">
        <x:v>Mantém preços e condições em linguagem factual e estável em todas as etapas.</x:v>
      </x:c>
      <x:c r="G16" s="100" t="str">
        <x:v>/produto/[slug]; /carrinho; /checkout</x:v>
      </x:c>
      <x:c r="H16" s="100" t="str">
        <x:v>src/components/menu/product-customizer.tsx; src/components/cart/cart-view.tsx</x:v>
      </x:c>
      <x:c r="I16" s="100" t="str">
        <x:v>Enquadramento é tratado como requisito de consistência, sem ganho/perda persuasivo.</x:v>
      </x:c>
      <x:c r="J16" s="100" t="str">
        <x:v>baralho de viéses.zip (16 cartas fornecidas pela disciplina)</x:v>
      </x:c>
      <x:c r="K16" s="102" t="str">
        <x:v>Baseline refinada</x:v>
      </x:c>
      <x:c r="L16" s="100" t="str">
        <x:v>Condições de pedido e preço devem ser equivalentes em todas as etapas.</x:v>
      </x:c>
      <x:c r="M16" s="100" t="str">
        <x:v>Aplicação defensiva.</x:v>
      </x:c>
    </x:row>
    <x:row r="17" ht="82" customHeight="1">
      <x:c r="A17" s="102" t="str">
        <x:v>B13</x:v>
      </x:c>
      <x:c r="B17" s="100" t="str">
        <x:v>Baralho de vieses</x:v>
      </x:c>
      <x:c r="C17" s="100" t="str">
        <x:v>Viés de Mera Exposição</x:v>
      </x:c>
      <x:c r="D17" s="100" t="str">
        <x:v>Familiaridade repetida pode aumentar aceitação.</x:v>
      </x:c>
      <x:c r="E17" s="102" t="str">
        <x:v>Sim</x:v>
      </x:c>
      <x:c r="F17" s="100" t="str">
        <x:v>Repete rótulos e padrões de interação de forma funcional entre as etapas.</x:v>
      </x:c>
      <x:c r="G17" s="100" t="str">
        <x:v>Cardápio → produto → carrinho → checkout</x:v>
      </x:c>
      <x:c r="H17" s="100" t="str">
        <x:v>src/components/layout/site-header.tsx; e2e/order-flow.spec.ts</x:v>
      </x:c>
      <x:c r="I17" s="100" t="str">
        <x:v>A repetição promove previsibilidade, não um item comercial específico.</x:v>
      </x:c>
      <x:c r="J17" s="100" t="str">
        <x:v>baralho de viéses.zip (16 cartas fornecidas pela disciplina)</x:v>
      </x:c>
      <x:c r="K17" s="102" t="str">
        <x:v>Baseline refinada</x:v>
      </x:c>
      <x:c r="L17" s="100" t="str">
        <x:v>Navegação e ações equivalentes devem conservar nome e comportamento.</x:v>
      </x:c>
      <x:c r="M17" s="100" t="str">
        <x:v>Consistência de usabilidade.</x:v>
      </x:c>
    </x:row>
    <x:row r="18" ht="82" customHeight="1">
      <x:c r="A18" s="102" t="str">
        <x:v>B14</x:v>
      </x:c>
      <x:c r="B18" s="100" t="str">
        <x:v>Baralho de vieses</x:v>
      </x:c>
      <x:c r="C18" s="100" t="str">
        <x:v>Viés de Prova Social</x:v>
      </x:c>
      <x:c r="D18" s="100" t="str">
        <x:v>Comportamentos e avaliações de outras pessoas influenciam escolhas.</x:v>
      </x:c>
      <x:c r="E18" s="102" t="str">
        <x:v>Não</x:v>
      </x:c>
      <x:c r="F18" s="100" t="str">
        <x:v>Avaliações, contadores e selos foram omitidos.</x:v>
      </x:c>
      <x:c r="G18" s="100" t="str">
        <x:v>Aplicação inteira</x:v>
      </x:c>
      <x:c r="H18" s="100" t="str">
        <x:v>src/data/menu.ts; src/data/academic-refinements.ts</x:v>
      </x:c>
      <x:c r="I18" s="100" t="str">
        <x:v>O protótipo não possui avaliações ou dados reais de uso.</x:v>
      </x:c>
      <x:c r="J18" s="100" t="str">
        <x:v>baralho de viéses.zip (16 cartas fornecidas pela disciplina)</x:v>
      </x:c>
      <x:c r="K18" s="102" t="str">
        <x:v>Baseline refinada</x:v>
      </x:c>
      <x:c r="L18" s="100" t="str">
        <x:v>Nenhuma tela deve alegar popularidade, recomendação ou porcentagem de usuários.</x:v>
      </x:c>
      <x:c r="M18" s="100" t="str">
        <x:v>Rejeitado por ausência de dados.</x:v>
      </x:c>
    </x:row>
    <x:row r="19" ht="82" customHeight="1">
      <x:c r="A19" s="102" t="str">
        <x:v>B15</x:v>
      </x:c>
      <x:c r="B19" s="100" t="str">
        <x:v>Baralho de vieses</x:v>
      </x:c>
      <x:c r="C19" s="100" t="str">
        <x:v>Viés de Saliência</x:v>
      </x:c>
      <x:c r="D19" s="100" t="str">
        <x:v>Informações visualmente notáveis recebem mais atenção.</x:v>
      </x:c>
      <x:c r="E19" s="102" t="str">
        <x:v>Sim</x:v>
      </x:c>
      <x:c r="F19" s="100" t="str">
        <x:v>Ação principal, total e avisos críticos têm hierarquia, texto e contraste acessíveis.</x:v>
      </x:c>
      <x:c r="G19" s="100" t="str">
        <x:v>Aplicação inteira</x:v>
      </x:c>
      <x:c r="H19" s="100" t="str">
        <x:v>src/app/globals.css; e2e/accessibility.spec.ts</x:v>
      </x:c>
      <x:c r="I19" s="100" t="str">
        <x:v>Saliência é usada para orientação e segurança, sem esconder alternativas.</x:v>
      </x:c>
      <x:c r="J19" s="100" t="str">
        <x:v>baralho de viéses.zip (16 cartas fornecidas pela disciplina)</x:v>
      </x:c>
      <x:c r="K19" s="102" t="str">
        <x:v>Baseline refinada</x:v>
      </x:c>
      <x:c r="L19" s="100" t="str">
        <x:v>Axe sem violações; foco visível; estado não depende somente de cor.</x:v>
      </x:c>
      <x:c r="M19" s="100" t="str">
        <x:v>Suporta WCAG 1.4.1, 1.4.3 e 2.4.7.</x:v>
      </x:c>
    </x:row>
    <x:row r="20" ht="82" customHeight="1">
      <x:c r="A20" s="102" t="str">
        <x:v>B16</x:v>
      </x:c>
      <x:c r="B20" s="100" t="str">
        <x:v>Baralho de vieses</x:v>
      </x:c>
      <x:c r="C20" s="100" t="str">
        <x:v>Viés do Presente</x:v>
      </x:c>
      <x:c r="D20" s="100" t="str">
        <x:v>Recompensas imediatas podem superar consequências futuras.</x:v>
      </x:c>
      <x:c r="E20" s="102" t="str">
        <x:v>Parcial</x:v>
      </x:c>
      <x:c r="F20" s="100" t="str">
        <x:v>Fornece feedback imediato real, sem urgência, escassez ou promessa de tempo.</x:v>
      </x:c>
      <x:c r="G20" s="100" t="str">
        <x:v>/carrinho; /pedido/[id]/confirmado</x:v>
      </x:c>
      <x:c r="H20" s="100" t="str">
        <x:v>src/components/cart/cart-view.tsx; src/components/orders/order-confirmation.tsx</x:v>
      </x:c>
      <x:c r="I20" s="100" t="str">
        <x:v>Feedback é necessário à usabilidade; exploração de imediatismo foi rejeitada.</x:v>
      </x:c>
      <x:c r="J20" s="100" t="str">
        <x:v>baralho de viéses.zip (16 cartas fornecidas pela disciplina)</x:v>
      </x:c>
      <x:c r="K20" s="102" t="str">
        <x:v>Baseline refinada</x:v>
      </x:c>
      <x:c r="L20" s="100" t="str">
        <x:v>Não deve existir contagem regressiva, prazo artificial ou mensagem de urgência.</x:v>
      </x:c>
      <x:c r="M20" s="100" t="str">
        <x:v>Contemplado apenas como feedback legítimo.</x:v>
      </x:c>
    </x:row>
    <x:row r="21" ht="82" customHeight="1">
      <x:c r="A21" s="102" t="str">
        <x:v>A01</x:v>
      </x:c>
      <x:c r="B21" s="100" t="str">
        <x:v>Growth.Design — Amazon Purchase UX</x:v>
      </x:c>
      <x:c r="C21" s="100" t="str">
        <x:v>Defaults e consentimento</x:v>
      </x:c>
      <x:c r="D21" s="100" t="str">
        <x:v>O caso mostra assinatura predefinida e consentimento pouco informado.</x:v>
      </x:c>
      <x:c r="E21" s="102" t="str">
        <x:v>Sim</x:v>
      </x:c>
      <x:c r="F21" s="100" t="str">
        <x:v>Pedido é explicitamente único e nenhuma opção paga ou recorrente é pré-selecionada.</x:v>
      </x:c>
      <x:c r="G21" s="100" t="str">
        <x:v>/produto/[slug]; /checkout; confirmação</x:v>
      </x:c>
      <x:c r="H21" s="100" t="str">
        <x:v>src/components/checkout/checkout-form.tsx; docs/academico/evidencias/depois/05-checkout-desktop.png</x:v>
      </x:c>
      <x:c r="I21" s="100" t="str">
        <x:v>Evita o dark pattern observado no caso.</x:v>
      </x:c>
      <x:c r="J21" s="100" t="str">
        <x:v>https://growth.design/case-studies/amazon-purchase-ux</x:v>
      </x:c>
      <x:c r="K21" s="102" t="str">
        <x:v>Baseline refinada</x:v>
      </x:c>
      <x:c r="L21" s="100" t="str">
        <x:v>Checkout deve informar ausência de assinatura e cobrança recorrente.</x:v>
      </x:c>
      <x:c r="M21" s="100" t="str">
        <x:v>Insight individual A01.</x:v>
      </x:c>
    </x:row>
    <x:row r="22" ht="82" customHeight="1">
      <x:c r="A22" s="102" t="str">
        <x:v>A02</x:v>
      </x:c>
      <x:c r="B22" s="100" t="str">
        <x:v>Growth.Design — Amazon Purchase UX</x:v>
      </x:c>
      <x:c r="C22" s="100" t="str">
        <x:v>Ancoragem na apresentação de preço</x:v>
      </x:c>
      <x:c r="D22" s="100" t="str">
        <x:v>Preço por unidade pode deslocar atenção do custo total.</x:v>
      </x:c>
      <x:c r="E22" s="102" t="str">
        <x:v>Sim</x:v>
      </x:c>
      <x:c r="F22" s="100" t="str">
        <x:v>Apresenta composição e total verificáveis sem âncora promocional.</x:v>
      </x:c>
      <x:c r="G22" s="100" t="str">
        <x:v>/produto/[slug]; /carrinho; /checkout</x:v>
      </x:c>
      <x:c r="H22" s="100" t="str">
        <x:v>src/domain/cart.ts; src/domain/cart.test.ts</x:v>
      </x:c>
      <x:c r="I22" s="100" t="str">
        <x:v>O total recebe igual ou maior clareza que parcelas do preço.</x:v>
      </x:c>
      <x:c r="J22" s="100" t="str">
        <x:v>https://growth.design/case-studies/amazon-purchase-ux</x:v>
      </x:c>
      <x:c r="K22" s="102" t="str">
        <x:v>Baseline refinada</x:v>
      </x:c>
      <x:c r="L22" s="100" t="str">
        <x:v>Testes de cálculo devem validar base, acréscimos, quantidade e subtotal.</x:v>
      </x:c>
      <x:c r="M22" s="100" t="str">
        <x:v>Insight individual A02.</x:v>
      </x:c>
    </x:row>
    <x:row r="23" ht="82" customHeight="1">
      <x:c r="A23" s="102" t="str">
        <x:v>A03</x:v>
      </x:c>
      <x:c r="B23" s="100" t="str">
        <x:v>Growth.Design — Amazon Purchase UX</x:v>
      </x:c>
      <x:c r="C23" s="100" t="str">
        <x:v>Efeito dotação</x:v>
      </x:c>
      <x:c r="D23" s="100" t="str">
        <x:v>Linguagem como ‘receba terça’ pode antecipar sensação de posse.</x:v>
      </x:c>
      <x:c r="E23" s="102" t="str">
        <x:v>Sim</x:v>
      </x:c>
      <x:c r="F23" s="100" t="str">
        <x:v>Não promete posse, horário ou entrega antes da confirmação; retirada é informada factualmente.</x:v>
      </x:c>
      <x:c r="G23" s="100" t="str">
        <x:v>/checkout; confirmação</x:v>
      </x:c>
      <x:c r="H23" s="100" t="str">
        <x:v>src/components/checkout/checkout-form.tsx; src/components/orders/order-confirmation.tsx</x:v>
      </x:c>
      <x:c r="I23" s="100" t="str">
        <x:v>Remove antecipação persuasiva e conserva instrução operacional.</x:v>
      </x:c>
      <x:c r="J23" s="100" t="str">
        <x:v>https://growth.design/case-studies/amazon-purchase-ux</x:v>
      </x:c>
      <x:c r="K23" s="102" t="str">
        <x:v>Baseline refinada</x:v>
      </x:c>
      <x:c r="L23" s="100" t="str">
        <x:v>Antes de confirmar, a interface deve falar em simulação e retirada, não posse.</x:v>
      </x:c>
      <x:c r="M23" s="100" t="str">
        <x:v>Insight individual A03.</x:v>
      </x:c>
    </x:row>
    <x:row r="24" ht="82" customHeight="1">
      <x:c r="A24" s="102" t="str">
        <x:v>A04</x:v>
      </x:c>
      <x:c r="B24" s="100" t="str">
        <x:v>Growth.Design — Amazon Purchase UX</x:v>
      </x:c>
      <x:c r="C24" s="100" t="str">
        <x:v>Lei de Fitts e destaque desproporcional</x:v>
      </x:c>
      <x:c r="D24" s="100" t="str">
        <x:v>Tamanho e distância dos alvos podem favorecer uma alternativa.</x:v>
      </x:c>
      <x:c r="E24" s="102" t="str">
        <x:v>Sim</x:v>
      </x:c>
      <x:c r="F24" s="100" t="str">
        <x:v>Alternativas equivalentes têm alvos e hierarquia visual equivalentes.</x:v>
      </x:c>
      <x:c r="G24" s="100" t="str">
        <x:v>/produto/[slug]; /checkout</x:v>
      </x:c>
      <x:c r="H24" s="100" t="str">
        <x:v>src/components/menu/product-customizer.tsx; e2e/responsive.spec.ts</x:v>
      </x:c>
      <x:c r="I24" s="100" t="str">
        <x:v>Usa a Lei de Fitts para acessibilidade, não para direcionamento comercial.</x:v>
      </x:c>
      <x:c r="J24" s="100" t="str">
        <x:v>https://growth.design/case-studies/amazon-purchase-ux</x:v>
      </x:c>
      <x:c r="K24" s="102" t="str">
        <x:v>Baseline refinada</x:v>
      </x:c>
      <x:c r="L24" s="100" t="str">
        <x:v>Alvos críticos devem atender 24×24 px e alternativas não selecionadas devem ser equivalentes.</x:v>
      </x:c>
      <x:c r="M24" s="100" t="str">
        <x:v>Insight individual A04.</x:v>
      </x:c>
    </x:row>
    <x:row r="25" ht="82" customHeight="1">
      <x:c r="A25" s="102" t="str">
        <x:v>A05</x:v>
      </x:c>
      <x:c r="B25" s="100" t="str">
        <x:v>Growth.Design — Amazon Purchase UX</x:v>
      </x:c>
      <x:c r="C25" s="100" t="str">
        <x:v>Prova social na frequência</x:v>
      </x:c>
      <x:c r="D25" s="100" t="str">
        <x:v>O caso questiona uma frequência ‘mais comum’ sem base adequada.</x:v>
      </x:c>
      <x:c r="E25" s="102" t="str">
        <x:v>Não</x:v>
      </x:c>
      <x:c r="F25" s="100" t="str">
        <x:v>Não sugere frequência, assinatura ou comportamento de outras pessoas.</x:v>
      </x:c>
      <x:c r="G25" s="100" t="str">
        <x:v>Aplicação inteira</x:v>
      </x:c>
      <x:c r="H25" s="100" t="str">
        <x:v>src/data/academic-refinements.ts</x:v>
      </x:c>
      <x:c r="I25" s="100" t="str">
        <x:v>Não existe recorrência nem dado real que justifique a sugestão.</x:v>
      </x:c>
      <x:c r="J25" s="100" t="str">
        <x:v>https://growth.design/case-studies/amazon-purchase-ux</x:v>
      </x:c>
      <x:c r="K25" s="102" t="str">
        <x:v>Baseline refinada</x:v>
      </x:c>
      <x:c r="L25" s="100" t="str">
        <x:v>Nenhuma tela deve recomendar frequência de compra.</x:v>
      </x:c>
      <x:c r="M25" s="100" t="str">
        <x:v>Insight individual A05; rejeitado.</x:v>
      </x:c>
    </x:row>
    <x:row r="26" ht="82" customHeight="1">
      <x:c r="A26" s="102" t="str">
        <x:v>A06</x:v>
      </x:c>
      <x:c r="B26" s="100" t="str">
        <x:v>Growth.Design — Amazon Purchase UX</x:v>
      </x:c>
      <x:c r="C26" s="100" t="str">
        <x:v>Status quo e condições de desconto</x:v>
      </x:c>
      <x:c r="D26" s="100" t="str">
        <x:v>Descontos podem incentivar manutenção do estado padrão e ocultar condições.</x:v>
      </x:c>
      <x:c r="E26" s="102" t="str">
        <x:v>Não</x:v>
      </x:c>
      <x:c r="F26" s="100" t="str">
        <x:v>Não há desconto, assinatura ou condição comercial nesta versão.</x:v>
      </x:c>
      <x:c r="G26" s="100" t="str">
        <x:v>Aplicação inteira</x:v>
      </x:c>
      <x:c r="H26" s="100" t="str">
        <x:v>src/data/menu.ts; carrinho; checkout</x:v>
      </x:c>
      <x:c r="I26" s="100" t="str">
        <x:v>Adicionar desconto ampliaria o escopo e criaria incentivo persuasivo.</x:v>
      </x:c>
      <x:c r="J26" s="100" t="str">
        <x:v>https://growth.design/case-studies/amazon-purchase-ux</x:v>
      </x:c>
      <x:c r="K26" s="102" t="str">
        <x:v>Baseline refinada</x:v>
      </x:c>
      <x:c r="L26" s="100" t="str">
        <x:v>Preços devem permanecer estáveis e sem condição promocional.</x:v>
      </x:c>
      <x:c r="M26" s="100" t="str">
        <x:v>Insight individual A06; rejeitado.</x:v>
      </x:c>
    </x:row>
    <x:row r="27" ht="82" customHeight="1">
      <x:c r="A27" s="102" t="str">
        <x:v>A07</x:v>
      </x:c>
      <x:c r="B27" s="100" t="str">
        <x:v>Growth.Design — Amazon Purchase UX</x:v>
      </x:c>
      <x:c r="C27" s="100" t="str">
        <x:v>Efeitos de segunda ordem</x:v>
      </x:c>
      <x:c r="D27" s="100" t="str">
        <x:v>Decisões recorrentes podem gerar sobreconsumo e impactos logísticos.</x:v>
      </x:c>
      <x:c r="E27" s="102" t="str">
        <x:v>Sim</x:v>
      </x:c>
      <x:c r="F27" s="100" t="str">
        <x:v>A experiência evita assinatura e compra recorrente desnecessária.</x:v>
      </x:c>
      <x:c r="G27" s="100" t="str">
        <x:v>/checkout; confirmação</x:v>
      </x:c>
      <x:c r="H27" s="100" t="str">
        <x:v>src/components/checkout/checkout-form.tsx; src/components/orders/order-confirmation.tsx</x:v>
      </x:c>
      <x:c r="I27" s="100" t="str">
        <x:v>A solução considera consequências posteriores da decisão atual.</x:v>
      </x:c>
      <x:c r="J27" s="100" t="str">
        <x:v>https://growth.design/case-studies/amazon-purchase-ux</x:v>
      </x:c>
      <x:c r="K27" s="102" t="str">
        <x:v>Baseline refinada</x:v>
      </x:c>
      <x:c r="L27" s="100" t="str">
        <x:v>Pedido confirmado deve ser único e não criar recorrência futura.</x:v>
      </x:c>
      <x:c r="M27" s="100" t="str">
        <x:v>Insight individual A07.</x:v>
      </x:c>
    </x:row>
    <x:row r="28" ht="82" customHeight="1">
      <x:c r="A28" s="102" t="str">
        <x:v>A08</x:v>
      </x:c>
      <x:c r="B28" s="100" t="str">
        <x:v>Growth.Design — Amazon Purchase UX</x:v>
      </x:c>
      <x:c r="C28" s="100" t="str">
        <x:v>Gatilhos autoiniciados</x:v>
      </x:c>
      <x:c r="D28" s="100" t="str">
        <x:v>Lembretes escolhidos pelo usuário podem ser alternativa ética à recorrência.</x:v>
      </x:c>
      <x:c r="E28" s="102" t="str">
        <x:v>Não</x:v>
      </x:c>
      <x:c r="F28" s="100" t="str">
        <x:v>Não cria lembrete porque refeições do protótipo não têm necessidade real de recorrência.</x:v>
      </x:c>
      <x:c r="G28" s="100" t="str">
        <x:v>Aplicação inteira</x:v>
      </x:c>
      <x:c r="H28" s="100" t="str">
        <x:v>src/data/academic-refinements.ts</x:v>
      </x:c>
      <x:c r="I28" s="100" t="str">
        <x:v>Notificação ampliaria escopo e retenção sem benefício necessário.</x:v>
      </x:c>
      <x:c r="J28" s="100" t="str">
        <x:v>https://growth.design/case-studies/amazon-purchase-ux</x:v>
      </x:c>
      <x:c r="K28" s="102" t="str">
        <x:v>Baseline refinada</x:v>
      </x:c>
      <x:c r="L28" s="100" t="str">
        <x:v>O app deve funcionar sem permissão de notificação ou lembrete.</x:v>
      </x:c>
      <x:c r="M28" s="100" t="str">
        <x:v>Insight individual A08; rejeitado.</x:v>
      </x:c>
    </x:row>
    <x:row r="29" ht="82" customHeight="1">
      <x:c r="A29" s="102" t="str">
        <x:v>A09</x:v>
      </x:c>
      <x:c r="B29" s="100" t="str">
        <x:v>Growth.Design — Amazon Purchase UX</x:v>
      </x:c>
      <x:c r="C29" s="100" t="str">
        <x:v>Spark Effect</x:v>
      </x:c>
      <x:c r="D29" s="100" t="str">
        <x:v>Reduzir esforço pode facilitar uma ação simples e desejada.</x:v>
      </x:c>
      <x:c r="E29" s="102" t="str">
        <x:v>Sim</x:v>
      </x:c>
      <x:c r="F29" s="100" t="str">
        <x:v>Editar, remover e desfazer têm baixo atrito sem favorecer alternativa comercial.</x:v>
      </x:c>
      <x:c r="G29" s="100" t="str">
        <x:v>/carrinho</x:v>
      </x:c>
      <x:c r="H29" s="100" t="str">
        <x:v>src/components/cart/cart-view.tsx; e2e/order-flow.spec.ts</x:v>
      </x:c>
      <x:c r="I29" s="100" t="str">
        <x:v>A facilidade é distribuída entre ações do usuário, inclusive desfazer.</x:v>
      </x:c>
      <x:c r="J29" s="100" t="str">
        <x:v>https://growth.design/case-studies/amazon-purchase-ux</x:v>
      </x:c>
      <x:c r="K29" s="102" t="str">
        <x:v>Baseline refinada</x:v>
      </x:c>
      <x:c r="L29" s="100" t="str">
        <x:v>Fluxo E2E deve editar, alterar quantidade, remover e desfazer.</x:v>
      </x:c>
      <x:c r="M29" s="100" t="str">
        <x:v>Insight individual A09.</x:v>
      </x:c>
    </x:row>
    <x:row r="30" ht="82" customHeight="1">
      <x:c r="A30" s="102" t="str">
        <x:v>F01</x:v>
      </x:c>
      <x:c r="B30" s="100" t="str">
        <x:v>Growth.Design — Facebook Misinformation</x:v>
      </x:c>
      <x:c r="C30" s="100" t="str">
        <x:v>Insights individuais do caso</x:v>
      </x:c>
      <x:c r="D30" s="100" t="str">
        <x:v>A página pública exibiu apenas cadastro e imagem de preview; os slides não ficaram acessíveis.</x:v>
      </x:c>
      <x:c r="E30" s="102" t="str">
        <x:v>Pendente de fonte</x:v>
      </x:c>
      <x:c r="F30" s="100" t="str">
        <x:v>Nenhum princípio foi atribuído ao caso sem acesso ao conteúdo original.</x:v>
      </x:c>
      <x:c r="G30" s="100" t="str">
        <x:v>/academico/refinamento</x:v>
      </x:c>
      <x:c r="H30" s="100" t="str">
        <x:v>src/app/academico/refinamento/page.tsx; docs/academico/evidencias/depois/10-refinamento-academico.png</x:v>
      </x:c>
      <x:c r="I30" s="100" t="str">
        <x:v>É necessário anexar os slides ou uma cópia legível para desdobrar uma linha por insight.</x:v>
      </x:c>
      <x:c r="J30" s="100" t="str">
        <x:v>https://growth.design/case-studies/facebook-misinformation</x:v>
      </x:c>
      <x:c r="K30" s="102" t="str">
        <x:v>Baseline refinada</x:v>
      </x:c>
      <x:c r="L30" s="100" t="str">
        <x:v>Substituir esta linha por insights individuais somente após conferir a fonte original.</x:v>
      </x:c>
      <x:c r="M30" s="100" t="str">
        <x:v>Limitação real, registrada sem inferência.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mergeCells>
    <x:mergeCell ref="A2:M2"/>
    <x:mergeCell ref="A3:M3"/>
  </x:mergeCells>
  <x:conditionalFormatting sqref="E5:E30">
    <x:cfRule type="containsText" dxfId="0" priority="1" operator="containsText" text="Sim"/>
    <x:cfRule type="containsText" dxfId="1" priority="2" operator="containsText" text="Parcial"/>
    <x:cfRule type="containsText" dxfId="2" priority="3" operator="containsText" text="Não"/>
    <x:cfRule type="containsText" dxfId="3" priority="4" operator="containsText" text="Pendente de fonte"/>
  </x:conditionalFormatting>
  <x:dataValidations count="1">
    <x:dataValidation type="list" sqref="E5:E30">
      <x:formula1>"Sim,Parcial,Não,Pendente de fonte"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d7430c593f4abc"/>
  </x:tableParts>
</x:worksheet>
</file>